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<sst xmlns="http://schemas.openxmlformats.org/spreadsheetml/2006/main" uniqueCount="146">
  <si>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Indicator</t>
  </si>
  <si>
    <t>Material</t>
  </si>
  <si>
    <t>Industry Sector</t>
  </si>
  <si>
    <t>Material type</t>
  </si>
  <si>
    <t>Material description</t>
  </si>
  <si>
    <t>Plant</t>
  </si>
  <si>
    <t>Storage Location</t>
  </si>
  <si>
    <t>Sales Organization</t>
  </si>
  <si>
    <t>Distribution Channel</t>
  </si>
  <si>
    <t>Warehouse Number</t>
  </si>
  <si>
    <t>Storage type</t>
  </si>
  <si>
    <t>Base Unit of Measure</t>
  </si>
  <si>
    <t>Material Group</t>
  </si>
  <si>
    <t>Old Material number</t>
  </si>
  <si>
    <t>External Material group</t>
  </si>
  <si>
    <t>Division</t>
  </si>
  <si>
    <t>Product hierarchy</t>
  </si>
  <si>
    <t>X-plant matl status</t>
  </si>
  <si>
    <t>Gross weight</t>
  </si>
  <si>
    <t>Net weight</t>
  </si>
  <si>
    <t>Weight unit</t>
  </si>
  <si>
    <t>Volume</t>
  </si>
  <si>
    <t>Volume unit</t>
  </si>
  <si>
    <t>Size/dimensions</t>
  </si>
  <si>
    <t>EAN/UPC</t>
  </si>
  <si>
    <t>EAN Category</t>
  </si>
  <si>
    <t>Matl Grp Pack.Matls</t>
  </si>
  <si>
    <t>Industry Standard Description</t>
  </si>
  <si>
    <t>Basic material</t>
  </si>
  <si>
    <t>Sales unit</t>
  </si>
  <si>
    <t>X-distr.chain status</t>
  </si>
  <si>
    <t>DChain-spec. status</t>
  </si>
  <si>
    <t>Matl statistics grp</t>
  </si>
  <si>
    <t>Material pricing grp</t>
  </si>
  <si>
    <t>Acct Assmt Grp Mat.</t>
  </si>
  <si>
    <t>General item category group</t>
  </si>
  <si>
    <t>Item category group</t>
  </si>
  <si>
    <t>Pricing Reference  Material</t>
  </si>
  <si>
    <t>Material group 1</t>
  </si>
  <si>
    <t>Material group 2</t>
  </si>
  <si>
    <t>Material freight group</t>
  </si>
  <si>
    <t>Availability check</t>
  </si>
  <si>
    <t>Trans. Grp</t>
  </si>
  <si>
    <t>Loading Group</t>
  </si>
  <si>
    <t>Control code</t>
  </si>
  <si>
    <t>Purchasing Group</t>
  </si>
  <si>
    <t>Plant-sp.matl status</t>
  </si>
  <si>
    <t>Tax indicator for material (Purchasing)</t>
  </si>
  <si>
    <t>Purchase value key</t>
  </si>
  <si>
    <t>Source List</t>
  </si>
  <si>
    <t>Quota arr. usage</t>
  </si>
  <si>
    <t>MRP Group</t>
  </si>
  <si>
    <t>ABC Indicator</t>
  </si>
  <si>
    <t>MRP Type</t>
  </si>
  <si>
    <t>Reorder point</t>
  </si>
  <si>
    <t>MRP Controller</t>
  </si>
  <si>
    <t>Lot Sizing Procedure</t>
  </si>
  <si>
    <t>Minimum Lot Size</t>
  </si>
  <si>
    <t>Maximum Lot Size</t>
  </si>
  <si>
    <t>Fixed Lot Size</t>
  </si>
  <si>
    <t>Maximum Stock Level</t>
  </si>
  <si>
    <t>Procurement type</t>
  </si>
  <si>
    <t>Special procurement</t>
  </si>
  <si>
    <t>Prod. stor. location</t>
  </si>
  <si>
    <t>Backflush</t>
  </si>
  <si>
    <t>Storage loc. for EP</t>
  </si>
  <si>
    <t>Indicator: Material can be co-product</t>
  </si>
  <si>
    <t>In-house production</t>
  </si>
  <si>
    <t>Planned Deliv. Time</t>
  </si>
  <si>
    <t>GR processing time</t>
  </si>
  <si>
    <t>Planning Calendar</t>
  </si>
  <si>
    <t>SchedMargin key</t>
  </si>
  <si>
    <t>Safety stock</t>
  </si>
  <si>
    <t>Min safety stock</t>
  </si>
  <si>
    <t>Period Indicator</t>
  </si>
  <si>
    <t>Fiscal Year Variant</t>
  </si>
  <si>
    <t>Planning Strategy Group</t>
  </si>
  <si>
    <t>Consumption mode</t>
  </si>
  <si>
    <t>Bwd consumption per.</t>
  </si>
  <si>
    <t>Fwd consumption per</t>
  </si>
  <si>
    <t>Selection method</t>
  </si>
  <si>
    <t>Individual/coll.</t>
  </si>
  <si>
    <t>Production Supervisor</t>
  </si>
  <si>
    <t>Production scheduling Profile</t>
  </si>
  <si>
    <t>Batch management</t>
  </si>
  <si>
    <t>Overdelivery tolerance limit</t>
  </si>
  <si>
    <t>Min. Rem. Shelf Life</t>
  </si>
  <si>
    <t>Total shelf life</t>
  </si>
  <si>
    <t>Profit Center</t>
  </si>
  <si>
    <t>Storage bin</t>
  </si>
  <si>
    <t>Picking Area</t>
  </si>
  <si>
    <t>Maximum Bin quantity</t>
  </si>
  <si>
    <t>QM proc. active</t>
  </si>
  <si>
    <t>QA Control Key</t>
  </si>
  <si>
    <t>Valuation Category</t>
  </si>
  <si>
    <t>Valuation type</t>
  </si>
  <si>
    <t>Valuation Class</t>
  </si>
  <si>
    <t>Price control</t>
  </si>
  <si>
    <t>Moving price</t>
  </si>
  <si>
    <t>Standard price</t>
  </si>
  <si>
    <t>Price unit</t>
  </si>
  <si>
    <t>Do Not Cost</t>
  </si>
  <si>
    <t>Material Is Costed with Quantity Structure</t>
  </si>
  <si>
    <t>Material origin</t>
  </si>
  <si>
    <t>Planned lot size</t>
  </si>
  <si>
    <t>Material group 4</t>
  </si>
  <si>
    <t>Material group 5</t>
  </si>
  <si>
    <t>LE1</t>
  </si>
  <si>
    <t>UOM</t>
  </si>
  <si>
    <t>LE2</t>
  </si>
  <si>
    <t>LE3</t>
  </si>
  <si>
    <t>Creation</t>
  </si>
  <si>
    <t>Z</t>
  </si>
  <si>
    <t>ZPAC</t>
  </si>
  <si>
    <t>CONTAINER AQORA 50GM</t>
  </si>
  <si>
    <t>TNC5</t>
  </si>
  <si>
    <t>PM01</t>
  </si>
  <si>
    <t>CK01</t>
  </si>
  <si>
    <t>ST</t>
  </si>
  <si>
    <t>PC</t>
  </si>
  <si>
    <t>PP</t>
  </si>
  <si>
    <t>FE</t>
  </si>
  <si>
    <t>G</t>
  </si>
  <si>
    <t>SPEC-SPI-DEODO-24-04333--V1</t>
  </si>
  <si>
    <t>PCR Cat 1</t>
  </si>
  <si>
    <t>01</t>
  </si>
  <si>
    <t>03</t>
  </si>
  <si>
    <t>NORM</t>
  </si>
  <si>
    <t>weight</t>
  </si>
  <si>
    <t>Z2</t>
  </si>
  <si>
    <t>0001</t>
  </si>
  <si>
    <t>P08</t>
  </si>
  <si>
    <t>Z004</t>
  </si>
  <si>
    <t>CKPL</t>
  </si>
  <si>
    <t>PD</t>
  </si>
  <si>
    <t>PM</t>
  </si>
  <si>
    <t>MB</t>
  </si>
  <si>
    <t>F</t>
  </si>
  <si>
    <t>PMO1</t>
  </si>
  <si>
    <t>CK1</t>
  </si>
  <si>
    <t>P</t>
  </si>
  <si>
    <t>V3</t>
  </si>
  <si>
    <t>X</t>
  </si>
  <si>
    <t>FE00</t>
  </si>
  <si>
    <t>V</t>
  </si>
  <si>
    <t>222222222222222222222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</si>
</sst>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EDEDED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5B9BD5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  <xf xfId="0" fontId="0" numFmtId="0" fillId="2" borderId="2" applyFont="0" applyNumberFormat="0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2" borderId="2" applyFont="0" applyNumberFormat="0" applyFill="1" applyBorder="1" applyAlignment="1">
      <alignment horizontal="left" vertical="bottom" textRotation="0" wrapText="true" shrinkToFit="false"/>
    </xf>
    <xf xfId="0" fontId="0" numFmtId="0" fillId="2" borderId="2" applyFont="0" applyNumberFormat="0" applyFill="1" applyBorder="1" applyAlignment="1">
      <alignment horizontal="left" vertical="bottom" textRotation="0" wrapText="false" shrinkToFit="false"/>
    </xf>
    <xf xfId="0" fontId="0" numFmtId="0" fillId="2" borderId="2" applyFont="0" applyNumberFormat="0" applyFill="1" applyBorder="1" applyAlignment="1">
      <alignment horizontal="left" vertical="bottom" textRotation="0" wrapText="false" shrinkToFit="false"/>
    </xf>
    <xf xfId="0" fontId="0" numFmtId="9" fillId="2" borderId="2" applyFont="0" applyNumberFormat="1" applyFill="1" applyBorder="1" applyAlignment="1">
      <alignment horizontal="left" vertical="bottom" textRotation="0" wrapText="false" shrinkToFit="false"/>
    </xf>
    <xf xfId="0" fontId="0" numFmtId="49" fillId="0" borderId="2" applyFont="0" applyNumberFormat="1" applyFill="0" applyBorder="1" applyAlignment="1">
      <alignment horizontal="left" vertical="center" textRotation="0" wrapText="false" shrinkToFit="false"/>
    </xf>
    <xf xfId="0" fontId="0" numFmtId="49" fillId="0" borderId="2" applyFont="0" applyNumberFormat="1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2" applyFont="0" applyNumberFormat="0" applyFill="1" applyBorder="1" applyAlignment="1">
      <alignment horizontal="left" vertical="center" textRotation="0" wrapText="true" shrinkToFit="false"/>
    </xf>
    <xf xfId="0" fontId="0" numFmtId="0" fillId="3" borderId="2" applyFont="0" applyNumberFormat="0" applyFill="1" applyBorder="1" applyAlignment="1">
      <alignment horizontal="left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  <xf xfId="0" fontId="0" numFmtId="0" fillId="3" borderId="2" applyFont="0" applyNumberFormat="0" applyFill="1" applyBorder="1" applyAlignment="1">
      <alignment horizontal="left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top" textRotation="0" wrapText="false" shrinkToFit="false"/>
    </xf>
    <xf xfId="0" fontId="1" numFmtId="0" fillId="5" borderId="1" applyFont="1" applyNumberFormat="0" applyFill="1" applyBorder="1" applyAlignment="1">
      <alignment horizontal="center" vertical="top" textRotation="0" wrapText="false" shrinkToFit="false"/>
    </xf>
    <xf xfId="0" fontId="0" numFmtId="0" fillId="4" borderId="2" applyFont="0" applyNumberFormat="0" applyFill="1" applyBorder="1" applyAlignment="1">
      <alignment horizontal="left" vertical="center" textRotation="0" wrapText="true" shrinkToFit="false"/>
    </xf>
    <xf xfId="0" fontId="0" numFmtId="0" fillId="5" borderId="2" applyFont="0" applyNumberFormat="0" applyFill="1" applyBorder="1" applyAlignment="1">
      <alignment horizontal="left" vertical="center" textRotation="0" wrapText="true" shrinkToFit="false"/>
    </xf>
    <xf xfId="0" fontId="0" numFmtId="0" fillId="6" borderId="2" applyFont="0" applyNumberFormat="0" applyFill="1" applyBorder="1" applyAlignment="1">
      <alignment horizontal="left" vertical="center" textRotation="0" wrapText="true" shrinkToFit="false"/>
    </xf>
    <xf xfId="0" fontId="0" numFmtId="0" fillId="4" borderId="2" applyFont="0" applyNumberFormat="0" applyFill="1" applyBorder="1" applyAlignment="1">
      <alignment horizontal="left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top" textRotation="0" wrapText="false" shrinkToFit="false"/>
    </xf>
    <xf xfId="0" fontId="0" quotePrefix="1" numFmtId="0" fillId="0" borderId="2" applyFont="0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I5"/>
  <sheetViews>
    <sheetView tabSelected="1" workbookViewId="0" showGridLines="true" showRowColHeaders="1">
      <selection activeCell="CJ5" sqref="CJ5"/>
    </sheetView>
  </sheetViews>
  <sheetFormatPr defaultRowHeight="14.4" defaultColWidth="8.7272727272727" outlineLevelRow="0" outlineLevelCol="0"/>
  <cols>
    <col min="1" max="1" width="14.636363636364" customWidth="true" style="0"/>
    <col min="2" max="2" width="15.636363636364" customWidth="true" style="0"/>
    <col min="3" max="3" width="15.363636363636" customWidth="true" style="0"/>
    <col min="4" max="4" width="15.545454545455" customWidth="true" style="0"/>
    <col min="5" max="5" width="18" customWidth="true" style="0"/>
    <col min="6" max="6" width="9.0909090909091" customWidth="true" style="0"/>
    <col min="7" max="7" width="14.090909090909" customWidth="true" style="0"/>
    <col min="8" max="8" width="15.454545454545" customWidth="true" style="0"/>
    <col min="9" max="9" width="17.636363636364" customWidth="true" style="0"/>
    <col min="10" max="10" width="17" customWidth="true" style="0"/>
    <col min="11" max="11" width="13.636363636364" customWidth="true" style="0"/>
    <col min="12" max="12" width="19.727272727273" customWidth="true" style="0"/>
    <col min="13" max="13" width="20" customWidth="true" style="0"/>
    <col min="14" max="14" width="23.272727272727" customWidth="true" style="0"/>
    <col min="15" max="15" width="12.181818181818" customWidth="true" style="0"/>
    <col min="17" max="17" width="21.545454545455" customWidth="true" style="0"/>
    <col min="18" max="18" width="17.272727272727" customWidth="true" style="0"/>
    <col min="19" max="19" width="13.454545454545" customWidth="true" style="0"/>
    <col min="20" max="20" width="14.272727272727" customWidth="true" style="0"/>
    <col min="21" max="21" width="15.090909090909" customWidth="true" style="0"/>
    <col min="23" max="23" width="12.636363636364" customWidth="true" style="0"/>
    <col min="24" max="24" width="14.818181818182" customWidth="true" style="0"/>
    <col min="26" max="26" width="14.636363636364" customWidth="true" style="0"/>
    <col min="27" max="27" width="19.727272727273" customWidth="true" style="0"/>
    <col min="28" max="28" width="29.090909090909" customWidth="true" style="0"/>
    <col min="29" max="29" width="20.545454545455" customWidth="true" style="0"/>
    <col min="30" max="30" width="15.636363636364" customWidth="true" style="0"/>
    <col min="31" max="31" width="20.090909090909" customWidth="true" style="0"/>
    <col min="32" max="32" width="23.363636363636" customWidth="true" style="0"/>
    <col min="33" max="33" width="19" customWidth="true" style="0"/>
    <col min="34" max="34" width="20.181818181818" customWidth="true" style="0"/>
    <col min="35" max="35" width="20.545454545455" customWidth="true" style="0"/>
    <col min="36" max="36" width="28.454545454545" customWidth="true" style="0"/>
    <col min="37" max="37" width="21.909090909091" customWidth="true" style="0"/>
    <col min="38" max="38" width="26" customWidth="true" style="0"/>
    <col min="39" max="39" width="16.818181818182" customWidth="true" style="0"/>
    <col min="40" max="40" width="17" customWidth="true" style="0"/>
    <col min="41" max="41" width="22.727272727273" customWidth="true" style="0"/>
    <col min="42" max="42" width="17.818181818182" customWidth="true" style="0"/>
    <col min="43" max="43" width="17.181818181818" customWidth="true" style="0"/>
    <col min="44" max="44" width="14.454545454545" customWidth="true" style="0"/>
    <col min="45" max="45" width="14.636363636364" customWidth="true" style="0"/>
    <col min="46" max="46" width="19.363636363636" customWidth="true" style="0"/>
    <col min="47" max="47" width="19.909090909091" customWidth="true" style="0"/>
    <col min="48" max="48" width="37.909090909091" customWidth="true" style="0"/>
    <col min="49" max="49" width="18.363636363636" customWidth="true" style="0"/>
    <col min="50" max="50" width="17.454545454545" customWidth="true" style="0"/>
    <col min="51" max="51" width="16.909090909091" customWidth="true" style="0"/>
    <col min="52" max="52" width="16.727272727273" customWidth="true" style="0"/>
    <col min="53" max="53" width="13.090909090909" customWidth="true" style="0"/>
    <col min="54" max="54" width="14.363636363636" customWidth="true" style="0"/>
    <col min="55" max="55" width="13.818181818182" customWidth="true" style="0"/>
    <col min="56" max="56" width="21.545454545455" customWidth="true" style="0"/>
    <col min="57" max="57" width="23.363636363636" customWidth="true" style="0"/>
    <col min="58" max="58" width="18.090909090909" customWidth="true" style="0"/>
    <col min="59" max="59" width="16.090909090909" customWidth="true" style="0"/>
    <col min="60" max="60" width="14.272727272727" customWidth="true" style="0"/>
    <col min="61" max="61" width="21.909090909091" customWidth="true" style="0"/>
    <col min="62" max="62" width="19.818181818182" customWidth="true" style="0"/>
    <col min="63" max="63" width="18.545454545455" customWidth="true" style="0"/>
    <col min="64" max="64" width="17" customWidth="true" style="0"/>
    <col min="65" max="65" width="14.818181818182" customWidth="true" style="0"/>
    <col min="66" max="66" width="17.272727272727" customWidth="true" style="0"/>
    <col min="67" max="67" width="38" customWidth="true" style="0"/>
    <col min="68" max="68" width="27.363636363636" customWidth="true" style="0"/>
    <col min="69" max="69" width="18.181818181818" customWidth="true" style="0"/>
    <col min="70" max="70" width="19" customWidth="true" style="0"/>
    <col min="71" max="71" width="22.818181818182" customWidth="true" style="0"/>
    <col min="72" max="72" width="16.545454545455" customWidth="true" style="0"/>
    <col min="73" max="73" width="16.272727272727" customWidth="true" style="0"/>
    <col min="86" max="86" width="15.636363636364" customWidth="true" style="0"/>
    <col min="87" max="87" width="20" customWidth="true" style="0"/>
    <col min="88" max="88" width="13.818181818182" customWidth="true" style="0"/>
    <col min="89" max="89" width="15.818181818182" customWidth="true" style="0"/>
  </cols>
  <sheetData>
    <row r="1" spans="1:113" customHeight="1" ht="43.5" s="1" customFormat="1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9" t="s">
        <v>14</v>
      </c>
      <c r="P1" s="5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4" t="s">
        <v>41</v>
      </c>
      <c r="AQ1" s="4" t="s">
        <v>42</v>
      </c>
      <c r="AR1" s="4" t="s">
        <v>43</v>
      </c>
      <c r="AS1" s="17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17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5" t="s">
        <v>63</v>
      </c>
      <c r="BM1" s="4" t="s">
        <v>64</v>
      </c>
      <c r="BN1" s="5" t="s">
        <v>65</v>
      </c>
      <c r="BO1" s="4" t="s">
        <v>66</v>
      </c>
      <c r="BP1" s="4" t="s">
        <v>67</v>
      </c>
      <c r="BQ1" s="17" t="s">
        <v>68</v>
      </c>
      <c r="BR1" s="4" t="s">
        <v>69</v>
      </c>
      <c r="BS1" s="4" t="s">
        <v>70</v>
      </c>
      <c r="BT1" s="4" t="s">
        <v>71</v>
      </c>
      <c r="BU1" s="22" t="s">
        <v>72</v>
      </c>
      <c r="BV1" s="2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5" t="s">
        <v>86</v>
      </c>
      <c r="CJ1" s="5" t="s">
        <v>87</v>
      </c>
      <c r="CK1" s="22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28" t="s">
        <v>98</v>
      </c>
      <c r="CV1" s="28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108</v>
      </c>
      <c r="DH1" s="4" t="s">
        <v>110</v>
      </c>
      <c r="DI1" s="4" t="s">
        <v>108</v>
      </c>
    </row>
    <row r="2" spans="1:113" customHeight="1" ht="15" s="2" customFormat="1">
      <c r="A2" s="6" t="s">
        <v>111</v>
      </c>
      <c r="B2" s="6"/>
      <c r="C2" s="6" t="s">
        <v>112</v>
      </c>
      <c r="D2" s="7" t="s">
        <v>113</v>
      </c>
      <c r="E2" s="7" t="s">
        <v>114</v>
      </c>
      <c r="F2" s="7" t="s">
        <v>115</v>
      </c>
      <c r="G2" s="7" t="s">
        <v>116</v>
      </c>
      <c r="H2" s="8" t="s">
        <v>117</v>
      </c>
      <c r="I2" s="8" t="s">
        <v>118</v>
      </c>
      <c r="J2" s="6"/>
      <c r="K2" s="6" t="str">
        <f>G2</f>
        <v>PM01</v>
      </c>
      <c r="L2" s="10" t="s">
        <v>119</v>
      </c>
      <c r="M2" s="10">
        <v>5026</v>
      </c>
      <c r="N2" s="11"/>
      <c r="O2" s="10" t="s">
        <v>120</v>
      </c>
      <c r="P2" s="12" t="s">
        <v>121</v>
      </c>
      <c r="Q2" s="6"/>
      <c r="R2" s="6"/>
      <c r="S2" s="7">
        <v>18</v>
      </c>
      <c r="T2" s="7">
        <v>18</v>
      </c>
      <c r="U2" s="11" t="s">
        <v>122</v>
      </c>
      <c r="V2" s="6"/>
      <c r="W2" s="6"/>
      <c r="X2" s="11" t="s">
        <v>123</v>
      </c>
      <c r="Y2" s="6"/>
      <c r="Z2" s="6"/>
      <c r="AA2" s="6"/>
      <c r="AB2" s="6" t="s">
        <v>124</v>
      </c>
      <c r="AC2" s="13">
        <v>0.1</v>
      </c>
      <c r="AD2" s="6"/>
      <c r="AE2" s="6"/>
      <c r="AF2" s="6"/>
      <c r="AG2" s="8">
        <v>1</v>
      </c>
      <c r="AH2" s="14" t="s">
        <v>125</v>
      </c>
      <c r="AI2" s="15" t="s">
        <v>126</v>
      </c>
      <c r="AJ2" s="16" t="s">
        <v>127</v>
      </c>
      <c r="AK2" s="8" t="s">
        <v>127</v>
      </c>
      <c r="AL2" s="6"/>
      <c r="AM2" s="6"/>
      <c r="AN2" s="6"/>
      <c r="AO2" s="18" t="s">
        <v>128</v>
      </c>
      <c r="AP2" s="16" t="s">
        <v>129</v>
      </c>
      <c r="AQ2" s="29" t="s">
        <v>130</v>
      </c>
      <c r="AR2" s="29" t="s">
        <v>130</v>
      </c>
      <c r="AS2" s="19">
        <v>39233090</v>
      </c>
      <c r="AT2" s="20" t="s">
        <v>131</v>
      </c>
      <c r="AU2" s="6"/>
      <c r="AV2" s="6"/>
      <c r="AW2" s="16" t="s">
        <v>132</v>
      </c>
      <c r="AX2" s="16"/>
      <c r="AY2" s="16"/>
      <c r="AZ2" s="16" t="s">
        <v>133</v>
      </c>
      <c r="BA2" s="16"/>
      <c r="BB2" s="16" t="s">
        <v>134</v>
      </c>
      <c r="BC2" s="6"/>
      <c r="BD2" s="16" t="s">
        <v>135</v>
      </c>
      <c r="BE2" s="16" t="s">
        <v>136</v>
      </c>
      <c r="BF2" s="21">
        <v>11111111111111111</v>
      </c>
      <c r="BG2" s="16">
        <v>0</v>
      </c>
      <c r="BH2" s="16">
        <v>0</v>
      </c>
      <c r="BI2" s="16"/>
      <c r="BJ2" s="16" t="s">
        <v>137</v>
      </c>
      <c r="BK2" s="6"/>
      <c r="BL2" s="11" t="s">
        <v>138</v>
      </c>
      <c r="BM2" s="6">
        <v>1</v>
      </c>
      <c r="BN2" s="11" t="s">
        <v>138</v>
      </c>
      <c r="BO2" s="6"/>
      <c r="BP2" s="6"/>
      <c r="BQ2" s="19">
        <v>11111111111</v>
      </c>
      <c r="BR2" s="6"/>
      <c r="BS2" s="16" t="s">
        <v>139</v>
      </c>
      <c r="BT2" s="6"/>
      <c r="BU2" s="24">
        <v>0</v>
      </c>
      <c r="BV2" s="25">
        <v>0</v>
      </c>
      <c r="BW2" s="16" t="s">
        <v>140</v>
      </c>
      <c r="BX2" s="16" t="s">
        <v>141</v>
      </c>
      <c r="BY2" s="6"/>
      <c r="BZ2" s="6"/>
      <c r="CA2" s="6"/>
      <c r="CB2" s="6"/>
      <c r="CC2" s="6"/>
      <c r="CD2" s="26">
        <v>2</v>
      </c>
      <c r="CE2" s="6"/>
      <c r="CF2" s="6"/>
      <c r="CG2" s="26" t="s">
        <v>142</v>
      </c>
      <c r="CH2" s="6"/>
      <c r="CI2" s="11">
        <v>1</v>
      </c>
      <c r="CJ2" s="18">
        <f>365*2</f>
        <v>730</v>
      </c>
      <c r="CK2" s="27" t="s">
        <v>143</v>
      </c>
      <c r="CL2" s="6"/>
      <c r="CM2" s="6"/>
      <c r="CN2" s="6"/>
      <c r="CO2" s="6"/>
      <c r="CP2" s="6"/>
      <c r="CQ2" s="6"/>
      <c r="CR2" s="6"/>
      <c r="CS2" s="16">
        <v>3050</v>
      </c>
      <c r="CT2" s="16" t="s">
        <v>144</v>
      </c>
      <c r="CU2" s="26">
        <v>0</v>
      </c>
      <c r="CV2" s="26">
        <v>0</v>
      </c>
      <c r="CW2" s="26">
        <v>1</v>
      </c>
      <c r="CX2" s="26" t="s">
        <v>142</v>
      </c>
      <c r="CY2" s="26" t="s">
        <v>142</v>
      </c>
      <c r="CZ2" s="26" t="s">
        <v>142</v>
      </c>
      <c r="DA2" s="26">
        <v>1000</v>
      </c>
      <c r="DB2" s="6"/>
      <c r="DC2" s="6"/>
      <c r="DD2" s="6"/>
      <c r="DE2" s="6"/>
      <c r="DF2" s="6"/>
      <c r="DG2" s="6"/>
      <c r="DH2" s="6"/>
      <c r="DI2" s="6"/>
    </row>
    <row r="3" spans="1:113" customHeight="1" ht="15" s="2" customFormat="1">
      <c r="A3" s="6" t="s">
        <v>111</v>
      </c>
      <c r="B3" s="6"/>
      <c r="C3" s="6" t="s">
        <v>112</v>
      </c>
      <c r="D3" s="7" t="s">
        <v>113</v>
      </c>
      <c r="E3" s="7" t="s">
        <v>114</v>
      </c>
      <c r="F3" s="7" t="s">
        <v>115</v>
      </c>
      <c r="G3" s="7" t="s">
        <v>116</v>
      </c>
      <c r="H3" s="8" t="s">
        <v>117</v>
      </c>
      <c r="I3" s="8" t="s">
        <v>118</v>
      </c>
      <c r="J3" s="6"/>
      <c r="K3" s="6" t="str">
        <f>G3</f>
        <v>PM01</v>
      </c>
      <c r="L3" s="10" t="s">
        <v>119</v>
      </c>
      <c r="M3" s="10">
        <v>5026</v>
      </c>
      <c r="N3" s="11"/>
      <c r="O3" s="10" t="s">
        <v>120</v>
      </c>
      <c r="P3" s="12" t="s">
        <v>121</v>
      </c>
      <c r="Q3" s="6"/>
      <c r="R3" s="6"/>
      <c r="S3" s="7">
        <v>18</v>
      </c>
      <c r="T3" s="7">
        <v>18</v>
      </c>
      <c r="U3" s="11" t="s">
        <v>122</v>
      </c>
      <c r="V3" s="6"/>
      <c r="W3" s="6"/>
      <c r="X3" s="11" t="s">
        <v>123</v>
      </c>
      <c r="Y3" s="6"/>
      <c r="Z3" s="6"/>
      <c r="AA3" s="6"/>
      <c r="AB3" s="6" t="s">
        <v>124</v>
      </c>
      <c r="AC3" s="13">
        <v>0.1</v>
      </c>
      <c r="AD3" s="6"/>
      <c r="AE3" s="6"/>
      <c r="AF3" s="6"/>
      <c r="AG3" s="8">
        <v>1</v>
      </c>
      <c r="AH3" s="14" t="s">
        <v>125</v>
      </c>
      <c r="AI3" s="15" t="s">
        <v>126</v>
      </c>
      <c r="AJ3" s="16" t="s">
        <v>127</v>
      </c>
      <c r="AK3" s="8" t="s">
        <v>127</v>
      </c>
      <c r="AL3" s="6"/>
      <c r="AM3" s="6"/>
      <c r="AN3" s="6"/>
      <c r="AO3" s="18" t="s">
        <v>128</v>
      </c>
      <c r="AP3" s="16" t="s">
        <v>129</v>
      </c>
      <c r="AQ3" s="29" t="s">
        <v>130</v>
      </c>
      <c r="AR3" s="29" t="s">
        <v>130</v>
      </c>
      <c r="AS3" s="19">
        <v>39233090</v>
      </c>
      <c r="AT3" s="20" t="s">
        <v>131</v>
      </c>
      <c r="AU3" s="6"/>
      <c r="AV3" s="6"/>
      <c r="AW3" s="16" t="s">
        <v>132</v>
      </c>
      <c r="AX3" s="16"/>
      <c r="AY3" s="16"/>
      <c r="AZ3" s="16" t="s">
        <v>133</v>
      </c>
      <c r="BA3" s="16"/>
      <c r="BB3" s="16" t="s">
        <v>134</v>
      </c>
      <c r="BC3" s="6"/>
      <c r="BD3" s="16" t="s">
        <v>135</v>
      </c>
      <c r="BE3" s="16" t="s">
        <v>136</v>
      </c>
      <c r="BF3" s="21">
        <v>2222222222</v>
      </c>
      <c r="BG3" s="16">
        <v>0</v>
      </c>
      <c r="BH3" s="16">
        <v>0</v>
      </c>
      <c r="BI3" s="16"/>
      <c r="BJ3" s="16" t="s">
        <v>137</v>
      </c>
      <c r="BK3" s="6"/>
      <c r="BL3" s="11" t="s">
        <v>138</v>
      </c>
      <c r="BM3" s="6">
        <v>1</v>
      </c>
      <c r="BN3" s="11" t="s">
        <v>138</v>
      </c>
      <c r="BO3" s="6"/>
      <c r="BP3" s="6"/>
      <c r="BQ3" s="19" t="s">
        <v>145</v>
      </c>
      <c r="BR3" s="6"/>
      <c r="BS3" s="16" t="s">
        <v>139</v>
      </c>
      <c r="BT3" s="6"/>
      <c r="BU3" s="24">
        <v>0</v>
      </c>
      <c r="BV3" s="25">
        <v>0</v>
      </c>
      <c r="BW3" s="16" t="s">
        <v>140</v>
      </c>
      <c r="BX3" s="16" t="s">
        <v>141</v>
      </c>
      <c r="BY3" s="6"/>
      <c r="BZ3" s="6"/>
      <c r="CA3" s="6"/>
      <c r="CB3" s="6"/>
      <c r="CC3" s="6"/>
      <c r="CD3" s="26">
        <v>2</v>
      </c>
      <c r="CE3" s="6"/>
      <c r="CF3" s="6"/>
      <c r="CG3" s="26" t="s">
        <v>142</v>
      </c>
      <c r="CH3" s="6"/>
      <c r="CI3" s="11">
        <v>1</v>
      </c>
      <c r="CJ3" s="18">
        <f>365*2</f>
        <v>730</v>
      </c>
      <c r="CK3" s="27" t="s">
        <v>143</v>
      </c>
      <c r="CL3" s="6"/>
      <c r="CM3" s="6"/>
      <c r="CN3" s="6"/>
      <c r="CO3" s="6"/>
      <c r="CP3" s="6"/>
      <c r="CQ3" s="6"/>
      <c r="CR3" s="6"/>
      <c r="CS3" s="16">
        <v>3050</v>
      </c>
      <c r="CT3" s="16" t="s">
        <v>144</v>
      </c>
      <c r="CU3" s="26">
        <v>0</v>
      </c>
      <c r="CV3" s="26">
        <v>0</v>
      </c>
      <c r="CW3" s="26">
        <v>1</v>
      </c>
      <c r="CX3" s="26" t="s">
        <v>142</v>
      </c>
      <c r="CY3" s="26" t="s">
        <v>142</v>
      </c>
      <c r="CZ3" s="26" t="s">
        <v>142</v>
      </c>
      <c r="DA3" s="26">
        <v>1000</v>
      </c>
      <c r="DB3" s="6"/>
      <c r="DC3" s="6"/>
      <c r="DD3" s="6"/>
      <c r="DE3" s="6"/>
      <c r="DF3" s="6"/>
      <c r="DG3" s="6"/>
      <c r="DH3" s="6"/>
      <c r="DI3" s="6"/>
    </row>
    <row r="4" spans="1:113" customHeight="1" ht="15" s="2" customFormat="1">
      <c r="A4" s="6" t="s">
        <v>111</v>
      </c>
      <c r="B4" s="6"/>
      <c r="C4" s="6" t="s">
        <v>112</v>
      </c>
      <c r="D4" s="7" t="s">
        <v>113</v>
      </c>
      <c r="E4" s="7" t="s">
        <v>114</v>
      </c>
      <c r="F4" s="7" t="s">
        <v>115</v>
      </c>
      <c r="G4" s="7" t="s">
        <v>116</v>
      </c>
      <c r="H4" s="8" t="s">
        <v>117</v>
      </c>
      <c r="I4" s="8" t="s">
        <v>118</v>
      </c>
      <c r="J4" s="6"/>
      <c r="K4" s="6" t="str">
        <f>G4</f>
        <v>PM01</v>
      </c>
      <c r="L4" s="10" t="s">
        <v>119</v>
      </c>
      <c r="M4" s="10">
        <v>5026</v>
      </c>
      <c r="N4" s="11"/>
      <c r="O4" s="10" t="s">
        <v>120</v>
      </c>
      <c r="P4" s="12" t="s">
        <v>121</v>
      </c>
      <c r="Q4" s="6"/>
      <c r="R4" s="6"/>
      <c r="S4" s="7">
        <v>18</v>
      </c>
      <c r="T4" s="7">
        <v>18</v>
      </c>
      <c r="U4" s="11" t="s">
        <v>122</v>
      </c>
      <c r="V4" s="6"/>
      <c r="W4" s="6"/>
      <c r="X4" s="11" t="s">
        <v>123</v>
      </c>
      <c r="Y4" s="6"/>
      <c r="Z4" s="6"/>
      <c r="AA4" s="6"/>
      <c r="AB4" s="6" t="s">
        <v>124</v>
      </c>
      <c r="AC4" s="13">
        <v>0.1</v>
      </c>
      <c r="AD4" s="6"/>
      <c r="AE4" s="6"/>
      <c r="AF4" s="6"/>
      <c r="AG4" s="8">
        <v>1</v>
      </c>
      <c r="AH4" s="14" t="s">
        <v>125</v>
      </c>
      <c r="AI4" s="15" t="s">
        <v>126</v>
      </c>
      <c r="AJ4" s="16" t="s">
        <v>127</v>
      </c>
      <c r="AK4" s="8" t="s">
        <v>127</v>
      </c>
      <c r="AL4" s="6"/>
      <c r="AM4" s="6"/>
      <c r="AN4" s="6"/>
      <c r="AO4" s="18" t="s">
        <v>128</v>
      </c>
      <c r="AP4" s="16" t="s">
        <v>129</v>
      </c>
      <c r="AQ4" s="29" t="s">
        <v>130</v>
      </c>
      <c r="AR4" s="29" t="s">
        <v>130</v>
      </c>
      <c r="AS4" s="19">
        <v>39233090</v>
      </c>
      <c r="AT4" s="20" t="s">
        <v>131</v>
      </c>
      <c r="AU4" s="6"/>
      <c r="AV4" s="6"/>
      <c r="AW4" s="16" t="s">
        <v>132</v>
      </c>
      <c r="AX4" s="16"/>
      <c r="AY4" s="16"/>
      <c r="AZ4" s="16" t="s">
        <v>133</v>
      </c>
      <c r="BA4" s="16"/>
      <c r="BB4" s="16" t="s">
        <v>134</v>
      </c>
      <c r="BC4" s="6"/>
      <c r="BD4" s="16" t="s">
        <v>135</v>
      </c>
      <c r="BE4" s="16" t="s">
        <v>136</v>
      </c>
      <c r="BF4" s="21">
        <v>3333333333</v>
      </c>
      <c r="BG4" s="16">
        <v>0</v>
      </c>
      <c r="BH4" s="16">
        <v>0</v>
      </c>
      <c r="BI4" s="16"/>
      <c r="BJ4" s="16" t="s">
        <v>137</v>
      </c>
      <c r="BK4" s="6"/>
      <c r="BL4" s="11" t="s">
        <v>138</v>
      </c>
      <c r="BM4" s="6">
        <v>1</v>
      </c>
      <c r="BN4" s="11" t="s">
        <v>138</v>
      </c>
      <c r="BO4" s="6"/>
      <c r="BP4" s="6"/>
      <c r="BQ4" s="19">
        <v>33333333333333</v>
      </c>
      <c r="BR4" s="6"/>
      <c r="BS4" s="16" t="s">
        <v>139</v>
      </c>
      <c r="BT4" s="6"/>
      <c r="BU4" s="24">
        <v>0</v>
      </c>
      <c r="BV4" s="25">
        <v>0</v>
      </c>
      <c r="BW4" s="16" t="s">
        <v>140</v>
      </c>
      <c r="BX4" s="16" t="s">
        <v>141</v>
      </c>
      <c r="BY4" s="6"/>
      <c r="BZ4" s="6"/>
      <c r="CA4" s="6"/>
      <c r="CB4" s="6"/>
      <c r="CC4" s="6"/>
      <c r="CD4" s="26">
        <v>2</v>
      </c>
      <c r="CE4" s="6"/>
      <c r="CF4" s="6"/>
      <c r="CG4" s="26" t="s">
        <v>142</v>
      </c>
      <c r="CH4" s="6"/>
      <c r="CI4" s="11">
        <v>1</v>
      </c>
      <c r="CJ4" s="18">
        <f>365*2</f>
        <v>730</v>
      </c>
      <c r="CK4" s="27" t="s">
        <v>143</v>
      </c>
      <c r="CL4" s="6"/>
      <c r="CM4" s="6"/>
      <c r="CN4" s="6"/>
      <c r="CO4" s="6"/>
      <c r="CP4" s="6"/>
      <c r="CQ4" s="6"/>
      <c r="CR4" s="6"/>
      <c r="CS4" s="16">
        <v>3050</v>
      </c>
      <c r="CT4" s="16" t="s">
        <v>144</v>
      </c>
      <c r="CU4" s="26">
        <v>0</v>
      </c>
      <c r="CV4" s="26">
        <v>0</v>
      </c>
      <c r="CW4" s="26">
        <v>1</v>
      </c>
      <c r="CX4" s="26" t="s">
        <v>142</v>
      </c>
      <c r="CY4" s="26" t="s">
        <v>142</v>
      </c>
      <c r="CZ4" s="26" t="s">
        <v>142</v>
      </c>
      <c r="DA4" s="26">
        <v>1000</v>
      </c>
      <c r="DB4" s="6"/>
      <c r="DC4" s="6"/>
      <c r="DD4" s="6"/>
      <c r="DE4" s="6"/>
      <c r="DF4" s="6"/>
      <c r="DG4" s="6"/>
      <c r="DH4" s="6"/>
      <c r="DI4" s="6"/>
    </row>
    <row r="5" spans="1:113" customHeight="1" ht="15" s="2" customFormat="1">
      <c r="A5" s="6" t="s">
        <v>111</v>
      </c>
      <c r="B5" s="6"/>
      <c r="C5" s="6" t="s">
        <v>112</v>
      </c>
      <c r="D5" s="7" t="s">
        <v>113</v>
      </c>
      <c r="E5" s="7" t="s">
        <v>114</v>
      </c>
      <c r="F5" s="7" t="s">
        <v>115</v>
      </c>
      <c r="G5" s="7" t="s">
        <v>116</v>
      </c>
      <c r="H5" s="8" t="s">
        <v>117</v>
      </c>
      <c r="I5" s="8" t="s">
        <v>118</v>
      </c>
      <c r="J5" s="6"/>
      <c r="K5" s="6" t="str">
        <f>G5</f>
        <v>PM01</v>
      </c>
      <c r="L5" s="10" t="s">
        <v>119</v>
      </c>
      <c r="M5" s="10">
        <v>5026</v>
      </c>
      <c r="N5" s="11"/>
      <c r="O5" s="10" t="s">
        <v>120</v>
      </c>
      <c r="P5" s="12" t="s">
        <v>121</v>
      </c>
      <c r="Q5" s="6"/>
      <c r="R5" s="6"/>
      <c r="S5" s="7">
        <v>18</v>
      </c>
      <c r="T5" s="7">
        <v>18</v>
      </c>
      <c r="U5" s="11" t="s">
        <v>122</v>
      </c>
      <c r="V5" s="6"/>
      <c r="W5" s="6"/>
      <c r="X5" s="11" t="s">
        <v>123</v>
      </c>
      <c r="Y5" s="6"/>
      <c r="Z5" s="6"/>
      <c r="AA5" s="6"/>
      <c r="AB5" s="6" t="s">
        <v>124</v>
      </c>
      <c r="AC5" s="13">
        <v>0.1</v>
      </c>
      <c r="AD5" s="6"/>
      <c r="AE5" s="6"/>
      <c r="AF5" s="6"/>
      <c r="AG5" s="8">
        <v>1</v>
      </c>
      <c r="AH5" s="14" t="s">
        <v>125</v>
      </c>
      <c r="AI5" s="15" t="s">
        <v>126</v>
      </c>
      <c r="AJ5" s="16" t="s">
        <v>127</v>
      </c>
      <c r="AK5" s="8" t="s">
        <v>127</v>
      </c>
      <c r="AL5" s="6"/>
      <c r="AM5" s="6"/>
      <c r="AN5" s="6"/>
      <c r="AO5" s="18" t="s">
        <v>128</v>
      </c>
      <c r="AP5" s="16" t="s">
        <v>129</v>
      </c>
      <c r="AQ5" s="29" t="s">
        <v>130</v>
      </c>
      <c r="AR5" s="29" t="s">
        <v>130</v>
      </c>
      <c r="AS5" s="19">
        <v>39233090</v>
      </c>
      <c r="AT5" s="20" t="s">
        <v>131</v>
      </c>
      <c r="AU5" s="6"/>
      <c r="AV5" s="6"/>
      <c r="AW5" s="16" t="s">
        <v>132</v>
      </c>
      <c r="AX5" s="16"/>
      <c r="AY5" s="16"/>
      <c r="AZ5" s="16" t="s">
        <v>133</v>
      </c>
      <c r="BA5" s="16"/>
      <c r="BB5" s="16" t="s">
        <v>134</v>
      </c>
      <c r="BC5" s="6"/>
      <c r="BD5" s="16" t="s">
        <v>135</v>
      </c>
      <c r="BE5" s="16" t="s">
        <v>136</v>
      </c>
      <c r="BF5" s="21">
        <v>4444444444444444444</v>
      </c>
      <c r="BG5" s="16">
        <v>0</v>
      </c>
      <c r="BH5" s="16">
        <v>0</v>
      </c>
      <c r="BI5" s="16"/>
      <c r="BJ5" s="16" t="s">
        <v>137</v>
      </c>
      <c r="BK5" s="6"/>
      <c r="BL5" s="11" t="s">
        <v>138</v>
      </c>
      <c r="BM5" s="6">
        <v>1</v>
      </c>
      <c r="BN5" s="11" t="s">
        <v>138</v>
      </c>
      <c r="BO5" s="6"/>
      <c r="BP5" s="6"/>
      <c r="BQ5" s="19">
        <v>44444444444444</v>
      </c>
      <c r="BR5" s="6"/>
      <c r="BS5" s="16" t="s">
        <v>139</v>
      </c>
      <c r="BT5" s="6"/>
      <c r="BU5" s="24">
        <v>0</v>
      </c>
      <c r="BV5" s="25">
        <v>0</v>
      </c>
      <c r="BW5" s="16" t="s">
        <v>140</v>
      </c>
      <c r="BX5" s="16" t="s">
        <v>141</v>
      </c>
      <c r="BY5" s="6"/>
      <c r="BZ5" s="6"/>
      <c r="CA5" s="6"/>
      <c r="CB5" s="6"/>
      <c r="CC5" s="6"/>
      <c r="CD5" s="26">
        <v>2</v>
      </c>
      <c r="CE5" s="6"/>
      <c r="CF5" s="6"/>
      <c r="CG5" s="26" t="s">
        <v>142</v>
      </c>
      <c r="CH5" s="6"/>
      <c r="CI5" s="11">
        <v>1</v>
      </c>
      <c r="CJ5" s="18">
        <f>365*2</f>
        <v>730</v>
      </c>
      <c r="CK5" s="27" t="s">
        <v>143</v>
      </c>
      <c r="CL5" s="6"/>
      <c r="CM5" s="6"/>
      <c r="CN5" s="6"/>
      <c r="CO5" s="6"/>
      <c r="CP5" s="6"/>
      <c r="CQ5" s="6"/>
      <c r="CR5" s="6"/>
      <c r="CS5" s="16">
        <v>3050</v>
      </c>
      <c r="CT5" s="16" t="s">
        <v>144</v>
      </c>
      <c r="CU5" s="26">
        <v>0</v>
      </c>
      <c r="CV5" s="26">
        <v>0</v>
      </c>
      <c r="CW5" s="26">
        <v>1</v>
      </c>
      <c r="CX5" s="26" t="s">
        <v>142</v>
      </c>
      <c r="CY5" s="26" t="s">
        <v>142</v>
      </c>
      <c r="CZ5" s="26" t="s">
        <v>142</v>
      </c>
      <c r="DA5" s="26">
        <v>1000</v>
      </c>
      <c r="DB5" s="6"/>
      <c r="DC5" s="6"/>
      <c r="DD5" s="6"/>
      <c r="DE5" s="6"/>
      <c r="DF5" s="6"/>
      <c r="DG5" s="6"/>
      <c r="DH5" s="6"/>
      <c r="DI5" s="6"/>
    </row>
  </sheetData>
  <dataValidations count="4">
    <dataValidation type="list" allowBlank="1" showDropDown="0" showInputMessage="1" showErrorMessage="1" sqref="M3">
      <formula1>"5001,5002,5003,5004,5005,5006,5007,5008,5009,5010,5011,5012,5013,5014,5015,5016,5017,5018,5019,5020,5021,5022,5023,5024,5025,5026,5027,5028,5029,5030,5031,5032,5033,5034,5035,5036,5037,5038,5039,5040,5041,5042,5043,5044,5045"</formula1>
    </dataValidation>
    <dataValidation type="list" allowBlank="1" showDropDown="0" showInputMessage="1" showErrorMessage="1" sqref="M4">
      <formula1>"5001,5002,5003,5004,5005,5006,5007,5008,5009,5010,5011,5012,5013,5014,5015,5016,5017,5018,5019,5020,5021,5022,5023,5024,5025,5026,5027,5028,5029,5030,5031,5032,5033,5034,5035,5036,5037,5038,5039,5040,5041,5042,5043,5044,5045"</formula1>
    </dataValidation>
    <dataValidation type="list" allowBlank="1" showDropDown="0" showInputMessage="1" showErrorMessage="1" sqref="M2">
      <formula1>"5001,5002,5003,5004,5005,5006,5007,5008,5009,5010,5011,5012,5013,5014,5015,5016,5017,5018,5019,5020,5021,5022,5023,5024,5025,5026,5027,5028,5029,5030,5031,5032,5033,5034,5035,5036,5037,5038,5039,5040,5041,5042,5043,5044,5045"</formula1>
    </dataValidation>
    <dataValidation type="list" allowBlank="1" showDropDown="0" showInputMessage="1" showErrorMessage="1" sqref="M5">
      <formula1>"5001,5002,5003,5004,5005,5006,5007,5008,5009,5010,5011,5012,5013,5014,5015,5016,5017,5018,5019,5020,5021,5022,5023,5024,5025,5026,5027,5028,5029,5030,5031,5032,5033,5034,5035,5036,5037,5038,5039,5040,5041,5042,5043,5044,5045"</formula1>
    </dataValidation>
  </dataValidation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NTS0208</dc:creator>
  <cp:lastModifiedBy>NTS0208</cp:lastModifiedBy>
  <dcterms:created xsi:type="dcterms:W3CDTF">2025-09-19T11:53:22+05:30</dcterms:created>
  <dcterms:modified xsi:type="dcterms:W3CDTF">2025-09-19T17:29:28+05:30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6A1EC89690854F80BF0865AB672B056E_11</vt:lpwstr>
  </property>
  <property fmtid="{D5CDD505-2E9C-101B-9397-08002B2CF9AE}" pid="3" name="KSOProductBuildVer">
    <vt:lpwstr>2057-12.2.0.22556</vt:lpwstr>
  </property>
</Properties>
</file>